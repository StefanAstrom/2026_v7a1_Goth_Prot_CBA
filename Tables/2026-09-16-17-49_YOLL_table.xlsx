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2026_v7_Goth_Prot_CBA\Tables\"/>
    </mc:Choice>
  </mc:AlternateContent>
  <xr:revisionPtr revIDLastSave="0" documentId="8_{2F3E179C-D6C8-43A0-BFD0-3CBCBBE6C8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M2" i="1"/>
</calcChain>
</file>

<file path=xl/sharedStrings.xml><?xml version="1.0" encoding="utf-8"?>
<sst xmlns="http://schemas.openxmlformats.org/spreadsheetml/2006/main" count="69" uniqueCount="24">
  <si>
    <t>Region</t>
  </si>
  <si>
    <t>Scenario</t>
  </si>
  <si>
    <t>Mort_level</t>
  </si>
  <si>
    <t>Effect_level</t>
  </si>
  <si>
    <t>Mor_cause</t>
  </si>
  <si>
    <t>YOLL</t>
  </si>
  <si>
    <t>UNECE (Excluding North America)</t>
  </si>
  <si>
    <t>Health 50%, Bio 35%-v7a</t>
  </si>
  <si>
    <t>Mid</t>
  </si>
  <si>
    <t>All</t>
  </si>
  <si>
    <t>Health 50%, Bio 40%-v7a</t>
  </si>
  <si>
    <t>Health 50%, Bio 45%-v7a</t>
  </si>
  <si>
    <t>Health 50%, Bio 50%-v7a</t>
  </si>
  <si>
    <t>Health 55%, Bio 40%-v7a</t>
  </si>
  <si>
    <t>Health 55%, Bio 45%-v7a</t>
  </si>
  <si>
    <t>Health 55%, Bio 50%-v7a</t>
  </si>
  <si>
    <t>Health 60%, Bio 40%-v7a</t>
  </si>
  <si>
    <t>Health 60%, Bio 45%-v7a</t>
  </si>
  <si>
    <t>Health 60%, Bio 50%-v7a</t>
  </si>
  <si>
    <t>MTFR_v7a</t>
  </si>
  <si>
    <t>Base_v7a</t>
  </si>
  <si>
    <t>VOLY</t>
  </si>
  <si>
    <t>Cost</t>
  </si>
  <si>
    <t>B/C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</si>
</sst>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F13" sqref="F13"/>
    </sheetView>
  </sheetViews>
  <sheetFormatPr defaultRowHeight="14.4" x14ac:dyDescent="0.3"/>
  <cols>
    <col min="2" max="2" width="21.5546875" bestFit="1" customWidth="1"/>
    <col min="6" max="6" width="13.88671875" bestFit="1" customWidth="1"/>
    <col min="8" max="8" width="13.5546875" customWidth="1"/>
    <col min="11" max="11" width="12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22</v>
      </c>
      <c r="I1" s="2" t="s">
        <v>21</v>
      </c>
      <c r="J1">
        <v>95000</v>
      </c>
      <c r="M1" t="s">
        <v>23</v>
      </c>
    </row>
    <row r="2" spans="1:13" x14ac:dyDescent="0.3">
      <c r="A2" t="s">
        <v>6</v>
      </c>
      <c r="B2" t="s">
        <v>7</v>
      </c>
      <c r="C2" t="s">
        <v>8</v>
      </c>
      <c r="D2" t="s">
        <v>8</v>
      </c>
      <c r="E2" t="s">
        <v>9</v>
      </c>
      <c r="F2" s="4">
        <v>6545742.8274090644</v>
      </c>
      <c r="H2">
        <v>574064000.00000501</v>
      </c>
      <c r="K2">
        <f>$J$1*($F$13-F2)</f>
        <v>6861869843899.1006</v>
      </c>
      <c r="M2">
        <f>K2/H2</f>
        <v>11953.144325195519</v>
      </c>
    </row>
    <row r="3" spans="1:13" x14ac:dyDescent="0.3">
      <c r="A3" t="s">
        <v>6</v>
      </c>
      <c r="B3" t="s">
        <v>10</v>
      </c>
      <c r="C3" t="s">
        <v>8</v>
      </c>
      <c r="D3" t="s">
        <v>8</v>
      </c>
      <c r="E3" t="s">
        <v>9</v>
      </c>
      <c r="F3" s="4">
        <v>6549365.0362020507</v>
      </c>
      <c r="H3">
        <v>917178000.00000203</v>
      </c>
    </row>
    <row r="4" spans="1:13" x14ac:dyDescent="0.3">
      <c r="A4" t="s">
        <v>6</v>
      </c>
      <c r="B4" t="s">
        <v>11</v>
      </c>
      <c r="C4" t="s">
        <v>8</v>
      </c>
      <c r="D4" t="s">
        <v>8</v>
      </c>
      <c r="E4" t="s">
        <v>9</v>
      </c>
      <c r="F4" s="4">
        <v>6562818.0041320724</v>
      </c>
      <c r="H4">
        <v>1619788999.9999993</v>
      </c>
    </row>
    <row r="5" spans="1:13" x14ac:dyDescent="0.3">
      <c r="A5" t="s">
        <v>6</v>
      </c>
      <c r="B5" t="s">
        <v>12</v>
      </c>
      <c r="C5" t="s">
        <v>8</v>
      </c>
      <c r="D5" t="s">
        <v>8</v>
      </c>
      <c r="E5" t="s">
        <v>9</v>
      </c>
      <c r="F5" s="4">
        <v>6537457.9653077088</v>
      </c>
      <c r="H5">
        <v>3078426000.0000081</v>
      </c>
    </row>
    <row r="6" spans="1:13" x14ac:dyDescent="0.3">
      <c r="A6" t="s">
        <v>6</v>
      </c>
      <c r="B6" t="s">
        <v>13</v>
      </c>
      <c r="C6" t="s">
        <v>8</v>
      </c>
      <c r="D6" t="s">
        <v>8</v>
      </c>
      <c r="E6" t="s">
        <v>9</v>
      </c>
      <c r="F6" s="4">
        <v>5841414.4146151124</v>
      </c>
      <c r="H6">
        <v>1707703000.0000019</v>
      </c>
    </row>
    <row r="7" spans="1:13" x14ac:dyDescent="0.3">
      <c r="A7" t="s">
        <v>6</v>
      </c>
      <c r="B7" t="s">
        <v>14</v>
      </c>
      <c r="C7" t="s">
        <v>8</v>
      </c>
      <c r="D7" t="s">
        <v>8</v>
      </c>
      <c r="E7" t="s">
        <v>9</v>
      </c>
      <c r="F7" s="4">
        <v>5841977.3398380252</v>
      </c>
      <c r="H7">
        <v>2246448999.999999</v>
      </c>
    </row>
    <row r="8" spans="1:13" x14ac:dyDescent="0.3">
      <c r="A8" t="s">
        <v>6</v>
      </c>
      <c r="B8" t="s">
        <v>15</v>
      </c>
      <c r="C8" t="s">
        <v>8</v>
      </c>
      <c r="D8" t="s">
        <v>8</v>
      </c>
      <c r="E8" t="s">
        <v>9</v>
      </c>
      <c r="F8" s="4">
        <v>5845480.6920830635</v>
      </c>
      <c r="H8">
        <v>3573866000.0000048</v>
      </c>
    </row>
    <row r="9" spans="1:13" x14ac:dyDescent="0.3">
      <c r="A9" t="s">
        <v>6</v>
      </c>
      <c r="B9" t="s">
        <v>16</v>
      </c>
      <c r="C9" t="s">
        <v>8</v>
      </c>
      <c r="D9" t="s">
        <v>8</v>
      </c>
      <c r="E9" t="s">
        <v>9</v>
      </c>
      <c r="F9" s="4">
        <v>5194124.3100052634</v>
      </c>
      <c r="H9">
        <v>6784463000</v>
      </c>
    </row>
    <row r="10" spans="1:13" x14ac:dyDescent="0.3">
      <c r="A10" t="s">
        <v>6</v>
      </c>
      <c r="B10" t="s">
        <v>17</v>
      </c>
      <c r="C10" t="s">
        <v>8</v>
      </c>
      <c r="D10" t="s">
        <v>8</v>
      </c>
      <c r="E10" t="s">
        <v>9</v>
      </c>
      <c r="F10" s="4">
        <v>5194750.8325073002</v>
      </c>
      <c r="H10">
        <v>6889672000.0000019</v>
      </c>
    </row>
    <row r="11" spans="1:13" x14ac:dyDescent="0.3">
      <c r="A11" t="s">
        <v>6</v>
      </c>
      <c r="B11" t="s">
        <v>18</v>
      </c>
      <c r="C11" t="s">
        <v>8</v>
      </c>
      <c r="D11" t="s">
        <v>8</v>
      </c>
      <c r="E11" t="s">
        <v>9</v>
      </c>
      <c r="F11" s="4">
        <v>5192191.0164522976</v>
      </c>
      <c r="H11">
        <v>7545390999.999999</v>
      </c>
    </row>
    <row r="12" spans="1:13" x14ac:dyDescent="0.3">
      <c r="A12" t="s">
        <v>6</v>
      </c>
      <c r="B12" t="s">
        <v>19</v>
      </c>
      <c r="C12" t="s">
        <v>8</v>
      </c>
      <c r="D12" t="s">
        <v>8</v>
      </c>
      <c r="E12" t="s">
        <v>9</v>
      </c>
      <c r="F12" s="4">
        <v>4912416.510843168</v>
      </c>
      <c r="H12">
        <v>51568531000</v>
      </c>
    </row>
    <row r="13" spans="1:13" x14ac:dyDescent="0.3">
      <c r="A13" t="s">
        <v>6</v>
      </c>
      <c r="B13" t="s">
        <v>20</v>
      </c>
      <c r="C13" t="s">
        <v>8</v>
      </c>
      <c r="D13" t="s">
        <v>8</v>
      </c>
      <c r="E13" t="s">
        <v>9</v>
      </c>
      <c r="F13" s="4">
        <v>78775951.710557491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Åström</cp:lastModifiedBy>
  <dcterms:created xsi:type="dcterms:W3CDTF">2026-09-16T15:27:44Z</dcterms:created>
  <dcterms:modified xsi:type="dcterms:W3CDTF">2026-09-16T15:49:23Z</dcterms:modified>
</cp:coreProperties>
</file>